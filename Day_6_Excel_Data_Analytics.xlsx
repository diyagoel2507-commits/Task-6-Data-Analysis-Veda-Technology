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d84dd85e6328a98/ドキュメント/"/>
    </mc:Choice>
  </mc:AlternateContent>
  <xr:revisionPtr revIDLastSave="7" documentId="8_{EF194B89-AAA3-4ACC-8D96-3997EDE63F23}" xr6:coauthVersionLast="47" xr6:coauthVersionMax="47" xr10:uidLastSave="{DE0F9517-7E43-40E1-9DBC-7A731B085F69}"/>
  <bookViews>
    <workbookView xWindow="-120" yWindow="-120" windowWidth="20730" windowHeight="11040" xr2:uid="{03BD23D9-8AA6-43B7-B95D-E015DCC6BB45}"/>
  </bookViews>
  <sheets>
    <sheet name="Transaction" sheetId="1" r:id="rId1"/>
    <sheet name="Products" sheetId="2" r:id="rId2"/>
    <sheet name="Customers" sheetId="3" r:id="rId3"/>
    <sheet name="Summary" sheetId="5" r:id="rId4"/>
    <sheet name="Notes" sheetId="7" r:id="rId5"/>
  </sheets>
  <definedNames>
    <definedName name="_xlnm._FilterDatabase" localSheetId="0" hidden="1">Transaction!$A$1:$P$16</definedName>
    <definedName name="Product_IDs">Products!$A$2:$A$9</definedName>
    <definedName name="Product_names">Products!$B$2:$B$9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2" i="1"/>
  <c r="B6" i="5"/>
  <c r="B5" i="5"/>
  <c r="B4" i="5"/>
  <c r="B3" i="5"/>
  <c r="B2" i="5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2" i="1"/>
  <c r="J2" i="1"/>
  <c r="I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I10" i="1"/>
  <c r="I3" i="1"/>
  <c r="I4" i="1"/>
  <c r="I5" i="1"/>
  <c r="I6" i="1"/>
  <c r="I7" i="1"/>
  <c r="I8" i="1"/>
  <c r="I9" i="1"/>
  <c r="I11" i="1"/>
  <c r="I12" i="1"/>
  <c r="I13" i="1"/>
  <c r="I14" i="1"/>
  <c r="I15" i="1"/>
  <c r="I16" i="1"/>
</calcChain>
</file>

<file path=xl/sharedStrings.xml><?xml version="1.0" encoding="utf-8"?>
<sst xmlns="http://schemas.openxmlformats.org/spreadsheetml/2006/main" count="182" uniqueCount="105">
  <si>
    <t>Order_ID</t>
  </si>
  <si>
    <t>Date</t>
  </si>
  <si>
    <t>Customer_ID</t>
  </si>
  <si>
    <t>Product_ID</t>
  </si>
  <si>
    <t>Quantity</t>
  </si>
  <si>
    <t>Unit_Price</t>
  </si>
  <si>
    <t>City</t>
  </si>
  <si>
    <t>Channel</t>
  </si>
  <si>
    <t>C001</t>
  </si>
  <si>
    <t>P101</t>
  </si>
  <si>
    <t>Delhi</t>
  </si>
  <si>
    <t>Online</t>
  </si>
  <si>
    <t>C002</t>
  </si>
  <si>
    <t>P102</t>
  </si>
  <si>
    <t>Mumbai</t>
  </si>
  <si>
    <t>Store</t>
  </si>
  <si>
    <t>C003</t>
  </si>
  <si>
    <t>P103</t>
  </si>
  <si>
    <t>C004</t>
  </si>
  <si>
    <t>P104</t>
  </si>
  <si>
    <t>Jaipur</t>
  </si>
  <si>
    <t>C005</t>
  </si>
  <si>
    <t>P105</t>
  </si>
  <si>
    <t>Pune</t>
  </si>
  <si>
    <t>C006</t>
  </si>
  <si>
    <t>Bengaluru</t>
  </si>
  <si>
    <t>C007</t>
  </si>
  <si>
    <t>P106</t>
  </si>
  <si>
    <t>C008</t>
  </si>
  <si>
    <t>C009</t>
  </si>
  <si>
    <t>P107</t>
  </si>
  <si>
    <t>Chandigarh</t>
  </si>
  <si>
    <t>C010</t>
  </si>
  <si>
    <t>C011</t>
  </si>
  <si>
    <t>P108</t>
  </si>
  <si>
    <t>C012</t>
  </si>
  <si>
    <t>Product_Name</t>
  </si>
  <si>
    <t>Category</t>
  </si>
  <si>
    <t>Wireless Mouse</t>
  </si>
  <si>
    <t>Accessories</t>
  </si>
  <si>
    <t>Keyboard</t>
  </si>
  <si>
    <t>USB Cable</t>
  </si>
  <si>
    <t>Webcam</t>
  </si>
  <si>
    <t>Electronics</t>
  </si>
  <si>
    <t>Notebook</t>
  </si>
  <si>
    <t>Stationery</t>
  </si>
  <si>
    <t>Headphones</t>
  </si>
  <si>
    <t>Power Bank</t>
  </si>
  <si>
    <t>Pen Pack</t>
  </si>
  <si>
    <t>Customer_Name</t>
  </si>
  <si>
    <t>Aarav</t>
  </si>
  <si>
    <t>Diya</t>
  </si>
  <si>
    <t>Kabir</t>
  </si>
  <si>
    <t>Anaya</t>
  </si>
  <si>
    <t>Vivaan</t>
  </si>
  <si>
    <t>Ishita</t>
  </si>
  <si>
    <t>Reyansh</t>
  </si>
  <si>
    <t>Myra</t>
  </si>
  <si>
    <t>Arjun</t>
  </si>
  <si>
    <t>Sara</t>
  </si>
  <si>
    <t>Advik</t>
  </si>
  <si>
    <t>Meera</t>
  </si>
  <si>
    <t>VLOOKUP_Product</t>
  </si>
  <si>
    <t>Revenue</t>
  </si>
  <si>
    <t>Order_Status</t>
  </si>
  <si>
    <t>Total Revenue</t>
  </si>
  <si>
    <t>Delhi Online Revenue</t>
  </si>
  <si>
    <t>Delhi Orders</t>
  </si>
  <si>
    <t>Delhi Online Orders</t>
  </si>
  <si>
    <t>City_Upper</t>
  </si>
  <si>
    <t>First_3_City</t>
  </si>
  <si>
    <t>City_Length</t>
  </si>
  <si>
    <t>INDEX_MATCH_Product</t>
  </si>
  <si>
    <t>Formula</t>
  </si>
  <si>
    <t>VLOOKUP</t>
  </si>
  <si>
    <t>XLOOKUP</t>
  </si>
  <si>
    <t>IF</t>
  </si>
  <si>
    <t>SUMIF</t>
  </si>
  <si>
    <t>SUMIFS</t>
  </si>
  <si>
    <t>COUNTIF</t>
  </si>
  <si>
    <t>COUNTIFS</t>
  </si>
  <si>
    <t>UPPER</t>
  </si>
  <si>
    <t>LEFT</t>
  </si>
  <si>
    <t>LEN</t>
  </si>
  <si>
    <t>INDEX + MATCH</t>
  </si>
  <si>
    <t>Question</t>
  </si>
  <si>
    <t>Answer</t>
  </si>
  <si>
    <t>SUMIF vs SUMIFS?</t>
  </si>
  <si>
    <t>XLOOKUP vs VLOOKUP?</t>
  </si>
  <si>
    <t>When to Use</t>
  </si>
  <si>
    <t>Used to find a matching value from a table.</t>
  </si>
  <si>
    <t>Used for flexible lookups and can return a custom value when no match is found.</t>
  </si>
  <si>
    <t>Used to return different results based on a condition.</t>
  </si>
  <si>
    <t>Used to add values that meet one specific condition.</t>
  </si>
  <si>
    <t>Used to add values that meet multiple conditions.</t>
  </si>
  <si>
    <t>Used to count cells that meet one specific condition.</t>
  </si>
  <si>
    <t>Used to count cells that meet multiple conditions.</t>
  </si>
  <si>
    <t>Used to convert text into uppercase letters.</t>
  </si>
  <si>
    <t>Used to extract characters from the left side of a text string.</t>
  </si>
  <si>
    <t>Used to count the number of characters in a text string.</t>
  </si>
  <si>
    <t>Used for flexible lookups when the lookup and return columns can be in different positions.</t>
  </si>
  <si>
    <t>SUMIF works with one condition, while SUMIFS works with multiple conditions.</t>
  </si>
  <si>
    <t>XLOOKUP is more flexible and does not have the same lookup-direction limitations as VLOOKUP.</t>
  </si>
  <si>
    <t>When would you use INDEX/MATCH?</t>
  </si>
  <si>
    <t>INDEX/MATCH is useful for flexible lookups, especially when the lookup column is not to the left of the return column.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</si>
</sst>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09]\ #,##0.00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0"/>
      <name val="Arial Unicode MS"/>
    </font>
    <font>
      <b/>
      <sz val="10"/>
      <color theme="1"/>
      <name val="Arial Unicode MS"/>
    </font>
    <font>
      <b/>
      <sz val="16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/>
    <xf numFmtId="164" fontId="0" fillId="0" borderId="1" xfId="0" applyNumberFormat="1" applyBorder="1"/>
    <xf numFmtId="14" fontId="0" fillId="0" borderId="1" xfId="0" applyNumberFormat="1" applyBorder="1"/>
    <xf numFmtId="0" fontId="0" fillId="0" borderId="1" xfId="0" applyBorder="1" applyAlignment="1">
      <alignment horizontal="center"/>
    </xf>
    <xf numFmtId="164" fontId="1" fillId="0" borderId="1" xfId="0" applyNumberFormat="1" applyFont="1" applyBorder="1"/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0" borderId="7" xfId="0" applyBorder="1"/>
    <xf numFmtId="14" fontId="0" fillId="0" borderId="8" xfId="0" applyNumberFormat="1" applyBorder="1"/>
    <xf numFmtId="0" fontId="0" fillId="0" borderId="8" xfId="0" applyBorder="1"/>
    <xf numFmtId="0" fontId="0" fillId="0" borderId="8" xfId="0" applyBorder="1" applyAlignment="1">
      <alignment horizontal="center"/>
    </xf>
    <xf numFmtId="164" fontId="0" fillId="0" borderId="8" xfId="0" applyNumberFormat="1" applyBorder="1"/>
    <xf numFmtId="164" fontId="1" fillId="0" borderId="8" xfId="0" applyNumberFormat="1" applyFont="1" applyBorder="1"/>
    <xf numFmtId="0" fontId="0" fillId="0" borderId="9" xfId="0" applyBorder="1"/>
    <xf numFmtId="0" fontId="5" fillId="2" borderId="0" xfId="0" applyFont="1" applyFill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164" fontId="0" fillId="0" borderId="3" xfId="0" applyNumberFormat="1" applyBorder="1"/>
    <xf numFmtId="164" fontId="0" fillId="0" borderId="9" xfId="0" applyNumberFormat="1" applyBorder="1"/>
    <xf numFmtId="0" fontId="1" fillId="0" borderId="2" xfId="0" applyFont="1" applyBorder="1"/>
    <xf numFmtId="0" fontId="4" fillId="0" borderId="2" xfId="0" applyFont="1" applyBorder="1"/>
    <xf numFmtId="1" fontId="0" fillId="0" borderId="3" xfId="0" applyNumberFormat="1" applyBorder="1"/>
    <xf numFmtId="0" fontId="5" fillId="2" borderId="4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1" fillId="0" borderId="7" xfId="0" applyFont="1" applyBorder="1"/>
    <xf numFmtId="1" fontId="0" fillId="0" borderId="9" xfId="0" applyNumberFormat="1" applyBorder="1"/>
    <xf numFmtId="0" fontId="6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42">
    <dxf>
      <fill>
        <patternFill>
          <bgColor rgb="FF6BF254"/>
        </patternFill>
      </fill>
    </dxf>
    <dxf>
      <numFmt numFmtId="164" formatCode="[$₹-4009]\ 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family val="2"/>
        <scheme val="minor"/>
      </font>
      <fill>
        <patternFill patternType="solid">
          <fgColor indexed="64"/>
          <bgColor rgb="FF00B0F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00B0F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[$₹-4009]\ 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00B0F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₹-4009]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₹-4009]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00B0F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FF66"/>
      <color rgb="FF6BF25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DCF7DC-7F1F-4DF8-8C33-25F1C777DF90}" name="Table1" displayName="Table1" ref="A1:P16" totalsRowShown="0" headerRowDxfId="41" headerRowBorderDxfId="40" tableBorderDxfId="39" totalsRowBorderDxfId="38">
  <autoFilter ref="A1:P16" xr:uid="{EDD340D4-B6AD-4DB6-BADD-48B035012621}"/>
  <tableColumns count="16">
    <tableColumn id="1" xr3:uid="{64944DC4-1F09-4F76-9C99-FEE618F1FA53}" name="Order_ID" dataDxfId="37"/>
    <tableColumn id="2" xr3:uid="{EF8F38F9-CFE7-44BF-B9D7-45A3CD267539}" name="Date" dataDxfId="36"/>
    <tableColumn id="3" xr3:uid="{55910B33-E460-4851-BABE-0C9D49F4636B}" name="Customer_ID" dataDxfId="35"/>
    <tableColumn id="4" xr3:uid="{B2EB0833-ED3E-47B8-A86B-70EF346338DB}" name="Product_ID" dataDxfId="34"/>
    <tableColumn id="5" xr3:uid="{4E2AD177-F8DB-4A83-B098-AA6D70A14428}" name="Quantity" dataDxfId="33"/>
    <tableColumn id="6" xr3:uid="{EF780CFA-1E0C-4E05-9E06-90DFBA658677}" name="Unit_Price" dataDxfId="32"/>
    <tableColumn id="7" xr3:uid="{02E40EF3-A076-4CA8-9577-FC13CA70FCAC}" name="City" dataDxfId="31"/>
    <tableColumn id="8" xr3:uid="{AE9EAFD4-002D-4A43-B165-D0AD6E5C2BF1}" name="Channel" dataDxfId="30"/>
    <tableColumn id="9" xr3:uid="{33385429-DA59-46B2-A554-3A89CDFE4DB6}" name="Product_Name" dataDxfId="29">
      <calculatedColumnFormula>_xlfn.XLOOKUP(D2,Products!A:A,Products!B:B,"Not Found")</calculatedColumnFormula>
    </tableColumn>
    <tableColumn id="10" xr3:uid="{4CD99545-6EC5-4210-A6AB-85E495C45666}" name="VLOOKUP_Product" dataDxfId="28">
      <calculatedColumnFormula>VLOOKUP(D2,Products!A:D,2,FALSE)</calculatedColumnFormula>
    </tableColumn>
    <tableColumn id="11" xr3:uid="{BEAD410F-2A71-42BF-8A9C-302176A27B28}" name="Revenue" dataDxfId="27">
      <calculatedColumnFormula>E2*F2</calculatedColumnFormula>
    </tableColumn>
    <tableColumn id="12" xr3:uid="{01914612-C0E6-451B-952B-6B7B9DB90188}" name="Order_Status" dataDxfId="26">
      <calculatedColumnFormula>IF(K2&gt;=1000,"High Value","Normal")</calculatedColumnFormula>
    </tableColumn>
    <tableColumn id="13" xr3:uid="{9992848D-457F-414C-AE4C-40C882144E4B}" name="City_Upper" dataDxfId="25">
      <calculatedColumnFormula>UPPER(G2)</calculatedColumnFormula>
    </tableColumn>
    <tableColumn id="14" xr3:uid="{52F725AF-CEF7-442E-B5FB-7DEBB4B92287}" name="First_3_City" dataDxfId="24">
      <calculatedColumnFormula>LEFT(G2,3)</calculatedColumnFormula>
    </tableColumn>
    <tableColumn id="15" xr3:uid="{06BA5EDA-2910-4299-B4D5-225E80785317}" name="City_Length" dataDxfId="23">
      <calculatedColumnFormula>LEN(G2)</calculatedColumnFormula>
    </tableColumn>
    <tableColumn id="16" xr3:uid="{3CA14361-9E6C-4560-835B-2939BEEA92E9}" name="INDEX_MATCH_Product" dataDxfId="22">
      <calculatedColumnFormula>INDEX(Products!B:B,MATCH(D2,Products!A:A,0))</calculatedColumnFormula>
    </tableColumn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3606878-1E04-4114-8DAF-B90CCE61D188}" name="Table3" displayName="Table3" ref="A1:D9" totalsRowShown="0" headerRowDxfId="21" headerRowBorderDxfId="20" tableBorderDxfId="19" totalsRowBorderDxfId="18">
  <autoFilter ref="A1:D9" xr:uid="{C3606878-1E04-4114-8DAF-B90CCE61D188}"/>
  <tableColumns count="4">
    <tableColumn id="1" xr3:uid="{55F98A35-505C-4511-81FB-7AB7162EAE96}" name="Product_ID" dataDxfId="17"/>
    <tableColumn id="2" xr3:uid="{ED5A2A54-EF21-4749-93EE-C8B8EF4A04E7}" name="Product_Name" dataDxfId="16"/>
    <tableColumn id="3" xr3:uid="{163B6978-F267-413C-87D8-0BDDD4B7B365}" name="Category" dataDxfId="15"/>
    <tableColumn id="4" xr3:uid="{29A57AE1-4EB8-4AC7-B7E4-357313161663}" name="Unit_Price" dataDxfId="14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4E249CB-82D1-4F6A-A069-542876464926}" name="Table2" displayName="Table2" ref="A1:C13" totalsRowShown="0" headerRowDxfId="13" headerRowBorderDxfId="12" tableBorderDxfId="11" totalsRowBorderDxfId="10">
  <autoFilter ref="A1:C13" xr:uid="{74E249CB-82D1-4F6A-A069-542876464926}"/>
  <tableColumns count="3">
    <tableColumn id="1" xr3:uid="{2C5CF63D-D4C2-4A00-A993-1A95A346E06B}" name="Customer_ID" dataDxfId="9"/>
    <tableColumn id="2" xr3:uid="{556AEC45-DA92-4C17-A5A0-4F0B2FF8E401}" name="Customer_Name" dataDxfId="8"/>
    <tableColumn id="3" xr3:uid="{953B27BF-3244-493D-A5D9-1D343C0043E3}" name="City" dataDxfId="7"/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795852A-5AAD-498D-970C-B37BF773F2A1}" name="Table4" displayName="Table4" ref="A1:B6" totalsRowShown="0" headerRowDxfId="6" headerRowBorderDxfId="5" tableBorderDxfId="4" totalsRowBorderDxfId="3">
  <autoFilter ref="A1:B6" xr:uid="{A795852A-5AAD-498D-970C-B37BF773F2A1}"/>
  <tableColumns count="2">
    <tableColumn id="1" xr3:uid="{9CFA333F-DB40-4A30-840E-DE018C663F08}" name="City" dataDxfId="2"/>
    <tableColumn id="2" xr3:uid="{0E4B8866-AD8F-47CC-A84C-7C6F67CF08F0}" name="Total Revenue" dataDxfId="1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8">
    <wetp:webextensionref xmlns:r="http://schemas.openxmlformats.org/officeDocument/2006/relationships" r:id="rId1"/>
  </wetp:taskpane>
  <wetp:taskpane dockstate="right" visibility="0" width="438" row="9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A7DA65A1-B0CF-4ECF-8BCA-C102E354EC4F}">
  <we:reference id="wa200006524" version="1.0.9.0" store="en-US" storeType="OMEX"/>
  <we:alternateReferences>
    <we:reference id="WA200006524" version="1.0.9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_xldudf_SSAI</we:customFunctionIds>
        <we:customFunctionIds>_xldudf_SSAI_LIST</we:customFunctionIds>
        <we:customFunctionIds>_xldudf_SSAI_FORMAT</we:customFunctionIds>
        <we:customFunctionIds>_xldudf_SSAI_TAG</we:customFunctionIds>
        <we:customFunctionIds>_xldudf_SSAI_CLASSIFY</we:customFunctionIds>
        <we:customFunctionIds>_xldudf_SSAI_EXTRACT</we:customFunctionIds>
        <we:customFunctionIds>_xldudf_SSAI_SUMMARIZE</we:customFunctionIds>
        <we:customFunctionIds>_xldudf_SSAI_TRANSLATE</we:customFunctionIds>
        <we:customFunctionIds>_xldudf_SSAI_CONVERT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A3FA4A12-7B3D-47BE-9D1F-78423ABCD0E6}">
  <we:reference id="wa200001584" version="3.0.5.6" store="en-US" storeType="OMEX"/>
  <we:alternateReferences>
    <we:reference id="WA200001584" version="3.0.5.6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340D4-B6AD-4DB6-BADD-48B035012621}">
  <dimension ref="A1:P16"/>
  <sheetViews>
    <sheetView tabSelected="1" zoomScale="90" zoomScaleNormal="90" workbookViewId="0">
      <selection activeCell="G23" sqref="G23"/>
    </sheetView>
  </sheetViews>
  <sheetFormatPr defaultRowHeight="15"/>
  <cols>
    <col min="1" max="1" width="15.28515625" customWidth="1"/>
    <col min="2" max="2" width="12.42578125" bestFit="1" customWidth="1"/>
    <col min="3" max="3" width="20.28515625" customWidth="1"/>
    <col min="4" max="4" width="18.28515625" customWidth="1"/>
    <col min="5" max="5" width="14.7109375" customWidth="1"/>
    <col min="6" max="6" width="17.42578125" customWidth="1"/>
    <col min="7" max="7" width="11" bestFit="1" customWidth="1"/>
    <col min="8" max="8" width="14.5703125" customWidth="1"/>
    <col min="9" max="9" width="23.140625" customWidth="1"/>
    <col min="10" max="10" width="29.28515625" customWidth="1"/>
    <col min="11" max="11" width="15.28515625" customWidth="1"/>
    <col min="12" max="12" width="21.140625" customWidth="1"/>
    <col min="13" max="13" width="18.140625" customWidth="1"/>
    <col min="14" max="14" width="19.28515625" customWidth="1"/>
    <col min="15" max="15" width="19.5703125" customWidth="1"/>
    <col min="16" max="16" width="35" customWidth="1"/>
  </cols>
  <sheetData>
    <row r="1" spans="1:16" ht="15.75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36</v>
      </c>
      <c r="J1" s="11" t="s">
        <v>62</v>
      </c>
      <c r="K1" s="11" t="s">
        <v>63</v>
      </c>
      <c r="L1" s="11" t="s">
        <v>64</v>
      </c>
      <c r="M1" s="11" t="s">
        <v>69</v>
      </c>
      <c r="N1" s="11" t="s">
        <v>70</v>
      </c>
      <c r="O1" s="12" t="s">
        <v>71</v>
      </c>
      <c r="P1" s="13" t="s">
        <v>72</v>
      </c>
    </row>
    <row r="2" spans="1:16">
      <c r="A2" s="8">
        <v>1001</v>
      </c>
      <c r="B2" s="3">
        <v>46266</v>
      </c>
      <c r="C2" s="1" t="s">
        <v>8</v>
      </c>
      <c r="D2" s="1" t="s">
        <v>9</v>
      </c>
      <c r="E2" s="4">
        <v>2</v>
      </c>
      <c r="F2" s="2">
        <v>450</v>
      </c>
      <c r="G2" s="1" t="s">
        <v>10</v>
      </c>
      <c r="H2" s="1" t="s">
        <v>11</v>
      </c>
      <c r="I2" s="1" t="str">
        <f>_xlfn.XLOOKUP(D2,Products!A:A,Products!B:B,"Not Found")</f>
        <v>Wireless Mouse</v>
      </c>
      <c r="J2" s="1" t="str">
        <f>VLOOKUP(D2,Products!A:D,2,FALSE)</f>
        <v>Wireless Mouse</v>
      </c>
      <c r="K2" s="5">
        <f>E2*F2</f>
        <v>900</v>
      </c>
      <c r="L2" s="1" t="str">
        <f>IF(K2&gt;=1000,"High Value","Normal")</f>
        <v>Normal</v>
      </c>
      <c r="M2" s="1" t="str">
        <f>UPPER(G2)</f>
        <v>DELHI</v>
      </c>
      <c r="N2" s="1" t="str">
        <f>LEFT(G2,3)</f>
        <v>Del</v>
      </c>
      <c r="O2" s="1">
        <f>LEN(G2)</f>
        <v>5</v>
      </c>
      <c r="P2" s="9" t="str">
        <f>INDEX(Products!B:B,MATCH(D2,Products!A:A,0))</f>
        <v>Wireless Mouse</v>
      </c>
    </row>
    <row r="3" spans="1:16">
      <c r="A3" s="8">
        <v>1002</v>
      </c>
      <c r="B3" s="3">
        <v>46266</v>
      </c>
      <c r="C3" s="1" t="s">
        <v>12</v>
      </c>
      <c r="D3" s="1" t="s">
        <v>13</v>
      </c>
      <c r="E3" s="4">
        <v>1</v>
      </c>
      <c r="F3" s="2">
        <v>1200</v>
      </c>
      <c r="G3" s="1" t="s">
        <v>14</v>
      </c>
      <c r="H3" s="1" t="s">
        <v>15</v>
      </c>
      <c r="I3" s="1" t="str">
        <f>_xlfn.XLOOKUP(D3,Products!A:A,Products!B:B,"Not Found")</f>
        <v>Keyboard</v>
      </c>
      <c r="J3" s="1" t="str">
        <f>VLOOKUP(D3,Products!A:D,2,FALSE)</f>
        <v>Keyboard</v>
      </c>
      <c r="K3" s="5">
        <f t="shared" ref="K3:K16" si="0">E3*F3</f>
        <v>1200</v>
      </c>
      <c r="L3" s="1" t="str">
        <f t="shared" ref="L3:L16" si="1">IF(K3&gt;=1000,"High Value","Normal")</f>
        <v>High Value</v>
      </c>
      <c r="M3" s="1" t="str">
        <f t="shared" ref="M3:M16" si="2">UPPER(G3)</f>
        <v>MUMBAI</v>
      </c>
      <c r="N3" s="1" t="str">
        <f t="shared" ref="N3:N16" si="3">LEFT(G3,3)</f>
        <v>Mum</v>
      </c>
      <c r="O3" s="1">
        <f t="shared" ref="O3:O16" si="4">LEN(G3)</f>
        <v>6</v>
      </c>
      <c r="P3" s="9" t="str">
        <f>INDEX(Products!B:B,MATCH(D3,Products!A:A,0))</f>
        <v>Keyboard</v>
      </c>
    </row>
    <row r="4" spans="1:16">
      <c r="A4" s="8">
        <v>1003</v>
      </c>
      <c r="B4" s="3">
        <v>46267</v>
      </c>
      <c r="C4" s="1" t="s">
        <v>16</v>
      </c>
      <c r="D4" s="1" t="s">
        <v>17</v>
      </c>
      <c r="E4" s="4">
        <v>3</v>
      </c>
      <c r="F4" s="2">
        <v>250</v>
      </c>
      <c r="G4" s="1" t="s">
        <v>10</v>
      </c>
      <c r="H4" s="1" t="s">
        <v>11</v>
      </c>
      <c r="I4" s="1" t="str">
        <f>_xlfn.XLOOKUP(D4,Products!A:A,Products!B:B,"Not Found")</f>
        <v>USB Cable</v>
      </c>
      <c r="J4" s="1" t="str">
        <f>VLOOKUP(D4,Products!A:D,2,FALSE)</f>
        <v>USB Cable</v>
      </c>
      <c r="K4" s="5">
        <f t="shared" si="0"/>
        <v>750</v>
      </c>
      <c r="L4" s="1" t="str">
        <f t="shared" si="1"/>
        <v>Normal</v>
      </c>
      <c r="M4" s="1" t="str">
        <f t="shared" si="2"/>
        <v>DELHI</v>
      </c>
      <c r="N4" s="1" t="str">
        <f t="shared" si="3"/>
        <v>Del</v>
      </c>
      <c r="O4" s="1">
        <f t="shared" si="4"/>
        <v>5</v>
      </c>
      <c r="P4" s="9" t="str">
        <f>INDEX(Products!B:B,MATCH(D4,Products!A:A,0))</f>
        <v>USB Cable</v>
      </c>
    </row>
    <row r="5" spans="1:16">
      <c r="A5" s="8">
        <v>1004</v>
      </c>
      <c r="B5" s="3">
        <v>46267</v>
      </c>
      <c r="C5" s="1" t="s">
        <v>18</v>
      </c>
      <c r="D5" s="1" t="s">
        <v>19</v>
      </c>
      <c r="E5" s="4">
        <v>1</v>
      </c>
      <c r="F5" s="2">
        <v>850</v>
      </c>
      <c r="G5" s="1" t="s">
        <v>20</v>
      </c>
      <c r="H5" s="1" t="s">
        <v>15</v>
      </c>
      <c r="I5" s="1" t="str">
        <f>_xlfn.XLOOKUP(D5,Products!A:A,Products!B:B,"Not Found")</f>
        <v>Webcam</v>
      </c>
      <c r="J5" s="1" t="str">
        <f>VLOOKUP(D5,Products!A:D,2,FALSE)</f>
        <v>Webcam</v>
      </c>
      <c r="K5" s="5">
        <f t="shared" si="0"/>
        <v>850</v>
      </c>
      <c r="L5" s="1" t="str">
        <f t="shared" si="1"/>
        <v>Normal</v>
      </c>
      <c r="M5" s="1" t="str">
        <f t="shared" si="2"/>
        <v>JAIPUR</v>
      </c>
      <c r="N5" s="1" t="str">
        <f t="shared" si="3"/>
        <v>Jai</v>
      </c>
      <c r="O5" s="1">
        <f t="shared" si="4"/>
        <v>6</v>
      </c>
      <c r="P5" s="9" t="str">
        <f>INDEX(Products!B:B,MATCH(D5,Products!A:A,0))</f>
        <v>Webcam</v>
      </c>
    </row>
    <row r="6" spans="1:16">
      <c r="A6" s="8">
        <v>1005</v>
      </c>
      <c r="B6" s="3">
        <v>46268</v>
      </c>
      <c r="C6" s="1" t="s">
        <v>21</v>
      </c>
      <c r="D6" s="1" t="s">
        <v>22</v>
      </c>
      <c r="E6" s="4">
        <v>4</v>
      </c>
      <c r="F6" s="2">
        <v>300</v>
      </c>
      <c r="G6" s="1" t="s">
        <v>23</v>
      </c>
      <c r="H6" s="1" t="s">
        <v>11</v>
      </c>
      <c r="I6" s="1" t="str">
        <f>_xlfn.XLOOKUP(D6,Products!A:A,Products!B:B,"Not Found")</f>
        <v>Notebook</v>
      </c>
      <c r="J6" s="1" t="str">
        <f>VLOOKUP(D6,Products!A:D,2,FALSE)</f>
        <v>Notebook</v>
      </c>
      <c r="K6" s="5">
        <f t="shared" si="0"/>
        <v>1200</v>
      </c>
      <c r="L6" s="1" t="str">
        <f t="shared" si="1"/>
        <v>High Value</v>
      </c>
      <c r="M6" s="1" t="str">
        <f t="shared" si="2"/>
        <v>PUNE</v>
      </c>
      <c r="N6" s="1" t="str">
        <f t="shared" si="3"/>
        <v>Pun</v>
      </c>
      <c r="O6" s="1">
        <f t="shared" si="4"/>
        <v>4</v>
      </c>
      <c r="P6" s="9" t="str">
        <f>INDEX(Products!B:B,MATCH(D6,Products!A:A,0))</f>
        <v>Notebook</v>
      </c>
    </row>
    <row r="7" spans="1:16">
      <c r="A7" s="8">
        <v>1006</v>
      </c>
      <c r="B7" s="3">
        <v>46268</v>
      </c>
      <c r="C7" s="1" t="s">
        <v>8</v>
      </c>
      <c r="D7" s="1" t="s">
        <v>17</v>
      </c>
      <c r="E7" s="4">
        <v>2</v>
      </c>
      <c r="F7" s="2">
        <v>250</v>
      </c>
      <c r="G7" s="1" t="s">
        <v>10</v>
      </c>
      <c r="H7" s="1" t="s">
        <v>15</v>
      </c>
      <c r="I7" s="1" t="str">
        <f>_xlfn.XLOOKUP(D7,Products!A:A,Products!B:B,"Not Found")</f>
        <v>USB Cable</v>
      </c>
      <c r="J7" s="1" t="str">
        <f>VLOOKUP(D7,Products!A:D,2,FALSE)</f>
        <v>USB Cable</v>
      </c>
      <c r="K7" s="5">
        <f t="shared" si="0"/>
        <v>500</v>
      </c>
      <c r="L7" s="1" t="str">
        <f t="shared" si="1"/>
        <v>Normal</v>
      </c>
      <c r="M7" s="1" t="str">
        <f t="shared" si="2"/>
        <v>DELHI</v>
      </c>
      <c r="N7" s="1" t="str">
        <f t="shared" si="3"/>
        <v>Del</v>
      </c>
      <c r="O7" s="1">
        <f t="shared" si="4"/>
        <v>5</v>
      </c>
      <c r="P7" s="9" t="str">
        <f>INDEX(Products!B:B,MATCH(D7,Products!A:A,0))</f>
        <v>USB Cable</v>
      </c>
    </row>
    <row r="8" spans="1:16">
      <c r="A8" s="8">
        <v>1007</v>
      </c>
      <c r="B8" s="3">
        <v>46269</v>
      </c>
      <c r="C8" s="1" t="s">
        <v>24</v>
      </c>
      <c r="D8" s="1" t="s">
        <v>9</v>
      </c>
      <c r="E8" s="4">
        <v>1</v>
      </c>
      <c r="F8" s="2">
        <v>450</v>
      </c>
      <c r="G8" s="1" t="s">
        <v>25</v>
      </c>
      <c r="H8" s="1" t="s">
        <v>11</v>
      </c>
      <c r="I8" s="1" t="str">
        <f>_xlfn.XLOOKUP(D8,Products!A:A,Products!B:B,"Not Found")</f>
        <v>Wireless Mouse</v>
      </c>
      <c r="J8" s="1" t="str">
        <f>VLOOKUP(D8,Products!A:D,2,FALSE)</f>
        <v>Wireless Mouse</v>
      </c>
      <c r="K8" s="5">
        <f t="shared" si="0"/>
        <v>450</v>
      </c>
      <c r="L8" s="1" t="str">
        <f t="shared" si="1"/>
        <v>Normal</v>
      </c>
      <c r="M8" s="1" t="str">
        <f t="shared" si="2"/>
        <v>BENGALURU</v>
      </c>
      <c r="N8" s="1" t="str">
        <f t="shared" si="3"/>
        <v>Ben</v>
      </c>
      <c r="O8" s="1">
        <f t="shared" si="4"/>
        <v>9</v>
      </c>
      <c r="P8" s="9" t="str">
        <f>INDEX(Products!B:B,MATCH(D8,Products!A:A,0))</f>
        <v>Wireless Mouse</v>
      </c>
    </row>
    <row r="9" spans="1:16">
      <c r="A9" s="8">
        <v>1008</v>
      </c>
      <c r="B9" s="3">
        <v>46269</v>
      </c>
      <c r="C9" s="1" t="s">
        <v>26</v>
      </c>
      <c r="D9" s="1" t="s">
        <v>27</v>
      </c>
      <c r="E9" s="4">
        <v>2</v>
      </c>
      <c r="F9" s="2">
        <v>700</v>
      </c>
      <c r="G9" s="1" t="s">
        <v>14</v>
      </c>
      <c r="H9" s="1" t="s">
        <v>11</v>
      </c>
      <c r="I9" s="1" t="str">
        <f>_xlfn.XLOOKUP(D9,Products!A:A,Products!B:B,"Not Found")</f>
        <v>Headphones</v>
      </c>
      <c r="J9" s="1" t="str">
        <f>VLOOKUP(D9,Products!A:D,2,FALSE)</f>
        <v>Headphones</v>
      </c>
      <c r="K9" s="5">
        <f t="shared" si="0"/>
        <v>1400</v>
      </c>
      <c r="L9" s="1" t="str">
        <f t="shared" si="1"/>
        <v>High Value</v>
      </c>
      <c r="M9" s="1" t="str">
        <f t="shared" si="2"/>
        <v>MUMBAI</v>
      </c>
      <c r="N9" s="1" t="str">
        <f t="shared" si="3"/>
        <v>Mum</v>
      </c>
      <c r="O9" s="1">
        <f t="shared" si="4"/>
        <v>6</v>
      </c>
      <c r="P9" s="9" t="str">
        <f>INDEX(Products!B:B,MATCH(D9,Products!A:A,0))</f>
        <v>Headphones</v>
      </c>
    </row>
    <row r="10" spans="1:16">
      <c r="A10" s="8">
        <v>1009</v>
      </c>
      <c r="B10" s="3">
        <v>46270</v>
      </c>
      <c r="C10" s="1" t="s">
        <v>28</v>
      </c>
      <c r="D10" s="1" t="s">
        <v>13</v>
      </c>
      <c r="E10" s="4">
        <v>1</v>
      </c>
      <c r="F10" s="2">
        <v>1200</v>
      </c>
      <c r="G10" s="1" t="s">
        <v>10</v>
      </c>
      <c r="H10" s="1" t="s">
        <v>15</v>
      </c>
      <c r="I10" s="1" t="str">
        <f>_xlfn.XLOOKUP(D10,Products!A:A,Products!B:B,"Not Found")</f>
        <v>Keyboard</v>
      </c>
      <c r="J10" s="1" t="str">
        <f>VLOOKUP(D10,Products!A:D,2,FALSE)</f>
        <v>Keyboard</v>
      </c>
      <c r="K10" s="5">
        <f t="shared" si="0"/>
        <v>1200</v>
      </c>
      <c r="L10" s="1" t="str">
        <f t="shared" si="1"/>
        <v>High Value</v>
      </c>
      <c r="M10" s="1" t="str">
        <f t="shared" si="2"/>
        <v>DELHI</v>
      </c>
      <c r="N10" s="1" t="str">
        <f t="shared" si="3"/>
        <v>Del</v>
      </c>
      <c r="O10" s="1">
        <f t="shared" si="4"/>
        <v>5</v>
      </c>
      <c r="P10" s="9" t="str">
        <f>INDEX(Products!B:B,MATCH(D10,Products!A:A,0))</f>
        <v>Keyboard</v>
      </c>
    </row>
    <row r="11" spans="1:16">
      <c r="A11" s="8">
        <v>1010</v>
      </c>
      <c r="B11" s="3">
        <v>46270</v>
      </c>
      <c r="C11" s="1" t="s">
        <v>16</v>
      </c>
      <c r="D11" s="1" t="s">
        <v>22</v>
      </c>
      <c r="E11" s="4">
        <v>2</v>
      </c>
      <c r="F11" s="2">
        <v>300</v>
      </c>
      <c r="G11" s="1" t="s">
        <v>10</v>
      </c>
      <c r="H11" s="1" t="s">
        <v>11</v>
      </c>
      <c r="I11" s="1" t="str">
        <f>_xlfn.XLOOKUP(D11,Products!A:A,Products!B:B,"Not Found")</f>
        <v>Notebook</v>
      </c>
      <c r="J11" s="1" t="str">
        <f>VLOOKUP(D11,Products!A:D,2,FALSE)</f>
        <v>Notebook</v>
      </c>
      <c r="K11" s="5">
        <f t="shared" si="0"/>
        <v>600</v>
      </c>
      <c r="L11" s="1" t="str">
        <f t="shared" si="1"/>
        <v>Normal</v>
      </c>
      <c r="M11" s="1" t="str">
        <f t="shared" si="2"/>
        <v>DELHI</v>
      </c>
      <c r="N11" s="1" t="str">
        <f t="shared" si="3"/>
        <v>Del</v>
      </c>
      <c r="O11" s="1">
        <f t="shared" si="4"/>
        <v>5</v>
      </c>
      <c r="P11" s="9" t="str">
        <f>INDEX(Products!B:B,MATCH(D11,Products!A:A,0))</f>
        <v>Notebook</v>
      </c>
    </row>
    <row r="12" spans="1:16">
      <c r="A12" s="8">
        <v>1011</v>
      </c>
      <c r="B12" s="3">
        <v>46271</v>
      </c>
      <c r="C12" s="1" t="s">
        <v>29</v>
      </c>
      <c r="D12" s="1" t="s">
        <v>30</v>
      </c>
      <c r="E12" s="4">
        <v>1</v>
      </c>
      <c r="F12" s="2">
        <v>1500</v>
      </c>
      <c r="G12" s="1" t="s">
        <v>31</v>
      </c>
      <c r="H12" s="1" t="s">
        <v>15</v>
      </c>
      <c r="I12" s="1" t="str">
        <f>_xlfn.XLOOKUP(D12,Products!A:A,Products!B:B,"Not Found")</f>
        <v>Power Bank</v>
      </c>
      <c r="J12" s="1" t="str">
        <f>VLOOKUP(D12,Products!A:D,2,FALSE)</f>
        <v>Power Bank</v>
      </c>
      <c r="K12" s="5">
        <f t="shared" si="0"/>
        <v>1500</v>
      </c>
      <c r="L12" s="1" t="str">
        <f t="shared" si="1"/>
        <v>High Value</v>
      </c>
      <c r="M12" s="1" t="str">
        <f t="shared" si="2"/>
        <v>CHANDIGARH</v>
      </c>
      <c r="N12" s="1" t="str">
        <f t="shared" si="3"/>
        <v>Cha</v>
      </c>
      <c r="O12" s="1">
        <f t="shared" si="4"/>
        <v>10</v>
      </c>
      <c r="P12" s="9" t="str">
        <f>INDEX(Products!B:B,MATCH(D12,Products!A:A,0))</f>
        <v>Power Bank</v>
      </c>
    </row>
    <row r="13" spans="1:16">
      <c r="A13" s="8">
        <v>1012</v>
      </c>
      <c r="B13" s="3">
        <v>46271</v>
      </c>
      <c r="C13" s="1" t="s">
        <v>32</v>
      </c>
      <c r="D13" s="1" t="s">
        <v>19</v>
      </c>
      <c r="E13" s="4">
        <v>2</v>
      </c>
      <c r="F13" s="2">
        <v>850</v>
      </c>
      <c r="G13" s="1" t="s">
        <v>23</v>
      </c>
      <c r="H13" s="1" t="s">
        <v>11</v>
      </c>
      <c r="I13" s="1" t="str">
        <f>_xlfn.XLOOKUP(D13,Products!A:A,Products!B:B,"Not Found")</f>
        <v>Webcam</v>
      </c>
      <c r="J13" s="1" t="str">
        <f>VLOOKUP(D13,Products!A:D,2,FALSE)</f>
        <v>Webcam</v>
      </c>
      <c r="K13" s="5">
        <f t="shared" si="0"/>
        <v>1700</v>
      </c>
      <c r="L13" s="1" t="str">
        <f t="shared" si="1"/>
        <v>High Value</v>
      </c>
      <c r="M13" s="1" t="str">
        <f t="shared" si="2"/>
        <v>PUNE</v>
      </c>
      <c r="N13" s="1" t="str">
        <f t="shared" si="3"/>
        <v>Pun</v>
      </c>
      <c r="O13" s="1">
        <f t="shared" si="4"/>
        <v>4</v>
      </c>
      <c r="P13" s="9" t="str">
        <f>INDEX(Products!B:B,MATCH(D13,Products!A:A,0))</f>
        <v>Webcam</v>
      </c>
    </row>
    <row r="14" spans="1:16">
      <c r="A14" s="8">
        <v>1013</v>
      </c>
      <c r="B14" s="3">
        <v>46272</v>
      </c>
      <c r="C14" s="1" t="s">
        <v>12</v>
      </c>
      <c r="D14" s="1" t="s">
        <v>27</v>
      </c>
      <c r="E14" s="4">
        <v>1</v>
      </c>
      <c r="F14" s="2">
        <v>700</v>
      </c>
      <c r="G14" s="1" t="s">
        <v>14</v>
      </c>
      <c r="H14" s="1" t="s">
        <v>15</v>
      </c>
      <c r="I14" s="1" t="str">
        <f>_xlfn.XLOOKUP(D14,Products!A:A,Products!B:B,"Not Found")</f>
        <v>Headphones</v>
      </c>
      <c r="J14" s="1" t="str">
        <f>VLOOKUP(D14,Products!A:D,2,FALSE)</f>
        <v>Headphones</v>
      </c>
      <c r="K14" s="5">
        <f t="shared" si="0"/>
        <v>700</v>
      </c>
      <c r="L14" s="1" t="str">
        <f t="shared" si="1"/>
        <v>Normal</v>
      </c>
      <c r="M14" s="1" t="str">
        <f t="shared" si="2"/>
        <v>MUMBAI</v>
      </c>
      <c r="N14" s="1" t="str">
        <f t="shared" si="3"/>
        <v>Mum</v>
      </c>
      <c r="O14" s="1">
        <f t="shared" si="4"/>
        <v>6</v>
      </c>
      <c r="P14" s="9" t="str">
        <f>INDEX(Products!B:B,MATCH(D14,Products!A:A,0))</f>
        <v>Headphones</v>
      </c>
    </row>
    <row r="15" spans="1:16">
      <c r="A15" s="8">
        <v>1014</v>
      </c>
      <c r="B15" s="3">
        <v>46272</v>
      </c>
      <c r="C15" s="1" t="s">
        <v>33</v>
      </c>
      <c r="D15" s="1" t="s">
        <v>34</v>
      </c>
      <c r="E15" s="4">
        <v>5</v>
      </c>
      <c r="F15" s="2">
        <v>180</v>
      </c>
      <c r="G15" s="1" t="s">
        <v>10</v>
      </c>
      <c r="H15" s="1" t="s">
        <v>11</v>
      </c>
      <c r="I15" s="1" t="str">
        <f>_xlfn.XLOOKUP(D15,Products!A:A,Products!B:B,"Not Found")</f>
        <v>Pen Pack</v>
      </c>
      <c r="J15" s="1" t="str">
        <f>VLOOKUP(D15,Products!A:D,2,FALSE)</f>
        <v>Pen Pack</v>
      </c>
      <c r="K15" s="5">
        <f t="shared" si="0"/>
        <v>900</v>
      </c>
      <c r="L15" s="1" t="str">
        <f t="shared" si="1"/>
        <v>Normal</v>
      </c>
      <c r="M15" s="1" t="str">
        <f t="shared" si="2"/>
        <v>DELHI</v>
      </c>
      <c r="N15" s="1" t="str">
        <f t="shared" si="3"/>
        <v>Del</v>
      </c>
      <c r="O15" s="1">
        <f t="shared" si="4"/>
        <v>5</v>
      </c>
      <c r="P15" s="9" t="str">
        <f>INDEX(Products!B:B,MATCH(D15,Products!A:A,0))</f>
        <v>Pen Pack</v>
      </c>
    </row>
    <row r="16" spans="1:16">
      <c r="A16" s="14">
        <v>1015</v>
      </c>
      <c r="B16" s="15">
        <v>46273</v>
      </c>
      <c r="C16" s="16" t="s">
        <v>35</v>
      </c>
      <c r="D16" s="16" t="s">
        <v>30</v>
      </c>
      <c r="E16" s="17">
        <v>1</v>
      </c>
      <c r="F16" s="18">
        <v>1500</v>
      </c>
      <c r="G16" s="16" t="s">
        <v>20</v>
      </c>
      <c r="H16" s="16" t="s">
        <v>15</v>
      </c>
      <c r="I16" s="16" t="str">
        <f>_xlfn.XLOOKUP(D16,Products!A:A,Products!B:B,"Not Found")</f>
        <v>Power Bank</v>
      </c>
      <c r="J16" s="16" t="str">
        <f>VLOOKUP(D16,Products!A:D,2,FALSE)</f>
        <v>Power Bank</v>
      </c>
      <c r="K16" s="19">
        <f t="shared" si="0"/>
        <v>1500</v>
      </c>
      <c r="L16" s="16" t="str">
        <f t="shared" si="1"/>
        <v>High Value</v>
      </c>
      <c r="M16" s="16" t="str">
        <f t="shared" si="2"/>
        <v>JAIPUR</v>
      </c>
      <c r="N16" s="16" t="str">
        <f t="shared" si="3"/>
        <v>Jai</v>
      </c>
      <c r="O16" s="16">
        <f t="shared" si="4"/>
        <v>6</v>
      </c>
      <c r="P16" s="20" t="str">
        <f>INDEX(Products!B:B,MATCH(D16,Products!A:A,0))</f>
        <v>Power Bank</v>
      </c>
    </row>
  </sheetData>
  <conditionalFormatting sqref="L1:L16">
    <cfRule type="containsText" dxfId="0" priority="1" operator="containsText" text="High Value">
      <formula>NOT(ISERROR(SEARCH("High Value",L1)))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3ED2B-8A44-4C50-9E11-3657D6449B21}">
  <dimension ref="A1:D9"/>
  <sheetViews>
    <sheetView workbookViewId="0">
      <selection activeCell="H13" sqref="H13"/>
    </sheetView>
  </sheetViews>
  <sheetFormatPr defaultRowHeight="15"/>
  <cols>
    <col min="1" max="1" width="14.140625" customWidth="1"/>
    <col min="2" max="2" width="17.85546875" customWidth="1"/>
    <col min="3" max="3" width="11.85546875" customWidth="1"/>
    <col min="4" max="4" width="13.28515625" customWidth="1"/>
  </cols>
  <sheetData>
    <row r="1" spans="1:4" ht="15.75">
      <c r="A1" s="24" t="s">
        <v>3</v>
      </c>
      <c r="B1" s="25" t="s">
        <v>36</v>
      </c>
      <c r="C1" s="25" t="s">
        <v>37</v>
      </c>
      <c r="D1" s="26" t="s">
        <v>5</v>
      </c>
    </row>
    <row r="2" spans="1:4">
      <c r="A2" s="23" t="s">
        <v>9</v>
      </c>
      <c r="B2" s="1" t="s">
        <v>38</v>
      </c>
      <c r="C2" s="1" t="s">
        <v>39</v>
      </c>
      <c r="D2" s="28">
        <v>450</v>
      </c>
    </row>
    <row r="3" spans="1:4">
      <c r="A3" s="23" t="s">
        <v>13</v>
      </c>
      <c r="B3" s="1" t="s">
        <v>40</v>
      </c>
      <c r="C3" s="1" t="s">
        <v>39</v>
      </c>
      <c r="D3" s="28">
        <v>1200</v>
      </c>
    </row>
    <row r="4" spans="1:4">
      <c r="A4" s="23" t="s">
        <v>17</v>
      </c>
      <c r="B4" s="1" t="s">
        <v>41</v>
      </c>
      <c r="C4" s="1" t="s">
        <v>39</v>
      </c>
      <c r="D4" s="28">
        <v>250</v>
      </c>
    </row>
    <row r="5" spans="1:4">
      <c r="A5" s="23" t="s">
        <v>19</v>
      </c>
      <c r="B5" s="1" t="s">
        <v>42</v>
      </c>
      <c r="C5" s="1" t="s">
        <v>43</v>
      </c>
      <c r="D5" s="28">
        <v>850</v>
      </c>
    </row>
    <row r="6" spans="1:4">
      <c r="A6" s="23" t="s">
        <v>22</v>
      </c>
      <c r="B6" s="1" t="s">
        <v>44</v>
      </c>
      <c r="C6" s="1" t="s">
        <v>45</v>
      </c>
      <c r="D6" s="28">
        <v>300</v>
      </c>
    </row>
    <row r="7" spans="1:4">
      <c r="A7" s="23" t="s">
        <v>27</v>
      </c>
      <c r="B7" s="1" t="s">
        <v>46</v>
      </c>
      <c r="C7" s="1" t="s">
        <v>43</v>
      </c>
      <c r="D7" s="28">
        <v>700</v>
      </c>
    </row>
    <row r="8" spans="1:4">
      <c r="A8" s="23" t="s">
        <v>30</v>
      </c>
      <c r="B8" s="1" t="s">
        <v>47</v>
      </c>
      <c r="C8" s="1" t="s">
        <v>43</v>
      </c>
      <c r="D8" s="28">
        <v>1500</v>
      </c>
    </row>
    <row r="9" spans="1:4">
      <c r="A9" s="27" t="s">
        <v>34</v>
      </c>
      <c r="B9" s="16" t="s">
        <v>48</v>
      </c>
      <c r="C9" s="16" t="s">
        <v>45</v>
      </c>
      <c r="D9" s="29">
        <v>180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7BCC4-B436-4AFB-88D3-67B476A60720}">
  <dimension ref="A1:C13"/>
  <sheetViews>
    <sheetView workbookViewId="0">
      <selection activeCell="I13" sqref="I13"/>
    </sheetView>
  </sheetViews>
  <sheetFormatPr defaultRowHeight="15"/>
  <cols>
    <col min="1" max="1" width="15.5703125" customWidth="1"/>
    <col min="2" max="2" width="19.28515625" customWidth="1"/>
    <col min="3" max="3" width="11" bestFit="1" customWidth="1"/>
  </cols>
  <sheetData>
    <row r="1" spans="1:3" ht="15.75">
      <c r="A1" s="24" t="s">
        <v>2</v>
      </c>
      <c r="B1" s="25" t="s">
        <v>49</v>
      </c>
      <c r="C1" s="26" t="s">
        <v>6</v>
      </c>
    </row>
    <row r="2" spans="1:3">
      <c r="A2" s="23" t="s">
        <v>8</v>
      </c>
      <c r="B2" s="1" t="s">
        <v>50</v>
      </c>
      <c r="C2" s="9" t="s">
        <v>10</v>
      </c>
    </row>
    <row r="3" spans="1:3">
      <c r="A3" s="23" t="s">
        <v>12</v>
      </c>
      <c r="B3" s="1" t="s">
        <v>51</v>
      </c>
      <c r="C3" s="9" t="s">
        <v>14</v>
      </c>
    </row>
    <row r="4" spans="1:3">
      <c r="A4" s="23" t="s">
        <v>16</v>
      </c>
      <c r="B4" s="1" t="s">
        <v>52</v>
      </c>
      <c r="C4" s="9" t="s">
        <v>10</v>
      </c>
    </row>
    <row r="5" spans="1:3">
      <c r="A5" s="23" t="s">
        <v>18</v>
      </c>
      <c r="B5" s="1" t="s">
        <v>53</v>
      </c>
      <c r="C5" s="9" t="s">
        <v>20</v>
      </c>
    </row>
    <row r="6" spans="1:3">
      <c r="A6" s="23" t="s">
        <v>21</v>
      </c>
      <c r="B6" s="1" t="s">
        <v>54</v>
      </c>
      <c r="C6" s="9" t="s">
        <v>23</v>
      </c>
    </row>
    <row r="7" spans="1:3">
      <c r="A7" s="23" t="s">
        <v>24</v>
      </c>
      <c r="B7" s="1" t="s">
        <v>55</v>
      </c>
      <c r="C7" s="9" t="s">
        <v>25</v>
      </c>
    </row>
    <row r="8" spans="1:3">
      <c r="A8" s="23" t="s">
        <v>26</v>
      </c>
      <c r="B8" s="1" t="s">
        <v>56</v>
      </c>
      <c r="C8" s="9" t="s">
        <v>14</v>
      </c>
    </row>
    <row r="9" spans="1:3">
      <c r="A9" s="23" t="s">
        <v>28</v>
      </c>
      <c r="B9" s="1" t="s">
        <v>57</v>
      </c>
      <c r="C9" s="9" t="s">
        <v>10</v>
      </c>
    </row>
    <row r="10" spans="1:3">
      <c r="A10" s="23" t="s">
        <v>29</v>
      </c>
      <c r="B10" s="1" t="s">
        <v>58</v>
      </c>
      <c r="C10" s="9" t="s">
        <v>31</v>
      </c>
    </row>
    <row r="11" spans="1:3">
      <c r="A11" s="23" t="s">
        <v>32</v>
      </c>
      <c r="B11" s="1" t="s">
        <v>59</v>
      </c>
      <c r="C11" s="9" t="s">
        <v>23</v>
      </c>
    </row>
    <row r="12" spans="1:3">
      <c r="A12" s="23" t="s">
        <v>33</v>
      </c>
      <c r="B12" s="1" t="s">
        <v>60</v>
      </c>
      <c r="C12" s="9" t="s">
        <v>10</v>
      </c>
    </row>
    <row r="13" spans="1:3">
      <c r="A13" s="27" t="s">
        <v>35</v>
      </c>
      <c r="B13" s="16" t="s">
        <v>61</v>
      </c>
      <c r="C13" s="20" t="s">
        <v>20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84E5E-3061-4033-9C88-4433E5D92FD4}">
  <dimension ref="A1:B6"/>
  <sheetViews>
    <sheetView workbookViewId="0">
      <selection activeCell="G11" sqref="G11"/>
    </sheetView>
  </sheetViews>
  <sheetFormatPr defaultRowHeight="15"/>
  <cols>
    <col min="1" max="1" width="21.140625" bestFit="1" customWidth="1"/>
    <col min="2" max="2" width="24" bestFit="1" customWidth="1"/>
  </cols>
  <sheetData>
    <row r="1" spans="1:2" ht="20.25" customHeight="1">
      <c r="A1" s="33" t="s">
        <v>6</v>
      </c>
      <c r="B1" s="34" t="s">
        <v>65</v>
      </c>
    </row>
    <row r="2" spans="1:2" ht="21.75" customHeight="1">
      <c r="A2" s="30" t="s">
        <v>10</v>
      </c>
      <c r="B2" s="28">
        <f>SUMIF(Transaction!G:G,A2,Transaction!K:K)</f>
        <v>4850</v>
      </c>
    </row>
    <row r="3" spans="1:2" ht="20.25" customHeight="1">
      <c r="A3" s="30" t="s">
        <v>14</v>
      </c>
      <c r="B3" s="28">
        <f>SUMIF(Transaction!G:G,A3,Transaction!K:K)</f>
        <v>3300</v>
      </c>
    </row>
    <row r="4" spans="1:2" ht="18.75" customHeight="1">
      <c r="A4" s="31" t="s">
        <v>66</v>
      </c>
      <c r="B4" s="28">
        <f>SUMIFS(Transaction!K:K,Transaction!G:G,"Delhi",Transaction!H:H,"Online")</f>
        <v>3150</v>
      </c>
    </row>
    <row r="5" spans="1:2" ht="18.75" customHeight="1">
      <c r="A5" s="30" t="s">
        <v>67</v>
      </c>
      <c r="B5" s="32">
        <f>COUNTIF(Transaction!G:G,"Delhi")</f>
        <v>6</v>
      </c>
    </row>
    <row r="6" spans="1:2" ht="18.75" customHeight="1">
      <c r="A6" s="35" t="s">
        <v>68</v>
      </c>
      <c r="B6" s="36">
        <f>COUNTIFS(Transaction!G:G,"Delhi",Transaction!H:H,"Online")</f>
        <v>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5A9D2-429F-4C81-A314-DBBD33031653}">
  <dimension ref="A1:G18"/>
  <sheetViews>
    <sheetView zoomScale="85" zoomScaleNormal="85" workbookViewId="0">
      <selection activeCell="F11" sqref="F11"/>
    </sheetView>
  </sheetViews>
  <sheetFormatPr defaultRowHeight="15"/>
  <cols>
    <col min="1" max="1" width="28.5703125" customWidth="1"/>
    <col min="2" max="2" width="45.7109375" customWidth="1"/>
    <col min="6" max="6" width="41.5703125" customWidth="1"/>
    <col min="7" max="7" width="48.140625" customWidth="1"/>
  </cols>
  <sheetData>
    <row r="1" spans="1:7" ht="21">
      <c r="A1" s="21" t="s">
        <v>73</v>
      </c>
      <c r="B1" s="21" t="s">
        <v>89</v>
      </c>
      <c r="F1" s="22" t="s">
        <v>85</v>
      </c>
      <c r="G1" s="22" t="s">
        <v>86</v>
      </c>
    </row>
    <row r="2" spans="1:7" ht="31.5">
      <c r="A2" s="39" t="s">
        <v>74</v>
      </c>
      <c r="B2" s="38" t="s">
        <v>90</v>
      </c>
      <c r="F2" s="37" t="s">
        <v>87</v>
      </c>
      <c r="G2" s="38" t="s">
        <v>101</v>
      </c>
    </row>
    <row r="3" spans="1:7" ht="31.5">
      <c r="A3" s="39" t="s">
        <v>75</v>
      </c>
      <c r="B3" s="38" t="s">
        <v>91</v>
      </c>
      <c r="F3" s="37" t="s">
        <v>88</v>
      </c>
      <c r="G3" s="38" t="s">
        <v>102</v>
      </c>
    </row>
    <row r="4" spans="1:7" ht="47.25">
      <c r="A4" s="39" t="s">
        <v>76</v>
      </c>
      <c r="B4" s="38" t="s">
        <v>92</v>
      </c>
      <c r="F4" s="37" t="s">
        <v>103</v>
      </c>
      <c r="G4" s="38" t="s">
        <v>104</v>
      </c>
    </row>
    <row r="5" spans="1:7" ht="31.5">
      <c r="A5" s="39" t="s">
        <v>77</v>
      </c>
      <c r="B5" s="38" t="s">
        <v>93</v>
      </c>
    </row>
    <row r="6" spans="1:7" ht="31.5">
      <c r="A6" s="39" t="s">
        <v>78</v>
      </c>
      <c r="B6" s="38" t="s">
        <v>94</v>
      </c>
    </row>
    <row r="7" spans="1:7" ht="31.5">
      <c r="A7" s="39" t="s">
        <v>79</v>
      </c>
      <c r="B7" s="38" t="s">
        <v>95</v>
      </c>
    </row>
    <row r="8" spans="1:7" ht="31.5">
      <c r="A8" s="39" t="s">
        <v>80</v>
      </c>
      <c r="B8" s="38" t="s">
        <v>96</v>
      </c>
    </row>
    <row r="9" spans="1:7" ht="15.75">
      <c r="A9" s="39" t="s">
        <v>81</v>
      </c>
      <c r="B9" s="38" t="s">
        <v>97</v>
      </c>
    </row>
    <row r="10" spans="1:7" ht="31.5">
      <c r="A10" s="39" t="s">
        <v>82</v>
      </c>
      <c r="B10" s="38" t="s">
        <v>98</v>
      </c>
    </row>
    <row r="11" spans="1:7" ht="31.5">
      <c r="A11" s="39" t="s">
        <v>83</v>
      </c>
      <c r="B11" s="38" t="s">
        <v>99</v>
      </c>
    </row>
    <row r="12" spans="1:7" ht="31.5">
      <c r="A12" s="39" t="s">
        <v>84</v>
      </c>
      <c r="B12" s="38" t="s">
        <v>100</v>
      </c>
    </row>
    <row r="15" spans="1:7" ht="21">
      <c r="A15" s="7"/>
      <c r="B15" s="7"/>
    </row>
    <row r="16" spans="1:7">
      <c r="A16" s="6"/>
      <c r="B16" s="6"/>
    </row>
    <row r="17" spans="1:2">
      <c r="A17" s="6"/>
      <c r="B17" s="6"/>
    </row>
    <row r="18" spans="1:2">
      <c r="A18" s="6"/>
      <c r="B18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Transaction</vt:lpstr>
      <vt:lpstr>Products</vt:lpstr>
      <vt:lpstr>Customers</vt:lpstr>
      <vt:lpstr>Summary</vt:lpstr>
      <vt:lpstr>Notes</vt:lpstr>
      <vt:lpstr>Product_IDs</vt:lpstr>
      <vt:lpstr>Product_names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Bhagya .</dc:creator>
  <cp:lastModifiedBy>Bhagya .</cp:lastModifiedBy>
  <dcterms:created xsi:type="dcterms:W3CDTF">2026-09-13T08:05:02Z</dcterms:created>
  <dcterms:modified xsi:type="dcterms:W3CDTF">2026-09-13T14:13:21Z</dcterms:modified>
</cp:coreProperties>
</file>